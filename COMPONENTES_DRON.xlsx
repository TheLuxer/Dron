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p\Documents\CETI_Ingeniería\INTER_CONTROL_DRL\"/>
    </mc:Choice>
  </mc:AlternateContent>
  <xr:revisionPtr revIDLastSave="0" documentId="8_{C2C1E815-DB51-4569-BA76-0A227BBDFA82}" xr6:coauthVersionLast="47" xr6:coauthVersionMax="47" xr10:uidLastSave="{00000000-0000-0000-0000-000000000000}"/>
  <bookViews>
    <workbookView xWindow="-108" yWindow="-108" windowWidth="23256" windowHeight="13896" xr2:uid="{382DD548-5DD0-489E-8C8D-48C8F73473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H6" i="1"/>
  <c r="F6" i="1"/>
  <c r="B6" i="1"/>
  <c r="H5" i="1"/>
  <c r="F5" i="1"/>
  <c r="B2" i="1"/>
  <c r="B5" i="1"/>
  <c r="H4" i="1"/>
  <c r="F3" i="1"/>
  <c r="F4" i="1"/>
  <c r="H3" i="1"/>
  <c r="H2" i="1"/>
  <c r="F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<sst xmlns="http://schemas.openxmlformats.org/spreadsheetml/2006/main" count="25" uniqueCount="18">
  <si>
    <t>CANTIDAD</t>
  </si>
  <si>
    <t>DESCRIPCIÓN</t>
  </si>
  <si>
    <t>DISTRIBUIDOR</t>
  </si>
  <si>
    <t>SKU</t>
  </si>
  <si>
    <t>IMAGEN</t>
  </si>
  <si>
    <t>UNIT ELECTRÓNIC</t>
  </si>
  <si>
    <t>AR1659</t>
  </si>
  <si>
    <t>MOTOR SIN ESCOBILLAS 2206 - 2100KV CCW</t>
  </si>
  <si>
    <t>AG ELECTRÓNICA</t>
  </si>
  <si>
    <t>X2206S-KV2100-CCW</t>
  </si>
  <si>
    <t>PRECIO UNITARIO</t>
  </si>
  <si>
    <t>TOTAL</t>
  </si>
  <si>
    <t>URL</t>
  </si>
  <si>
    <t>○○○</t>
  </si>
  <si>
    <t>HELICES DE DRON CW/CCW 5X4.5 PULG</t>
  </si>
  <si>
    <t>9366000126-0</t>
  </si>
  <si>
    <t>AR3547</t>
  </si>
  <si>
    <t>AR0277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</si>
</sst>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181818"/>
      <name val="Arial"/>
      <family val="2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2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g"/><Relationship Id="rId3" Type="http://schemas.openxmlformats.org/officeDocument/2006/relationships/hyperlink" Target="https://agelectronica.com/vistas/images/X/X2206S-KV2100-CCW.jpg" TargetMode="External"/><Relationship Id="rId7" Type="http://schemas.openxmlformats.org/officeDocument/2006/relationships/hyperlink" Target="https://uelectronics.com/wp-content/uploads/2024/07/AR3547-ESP32-S3-SuperMini-6.jpg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uelectronics.com/wp-content/uploads/2020/10/AR1659-ESC-30A-Driver-Motor-Brushless.jpg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s://agelectronica.com/vistas/images/9/9366000126-0.jpg" TargetMode="External"/><Relationship Id="rId10" Type="http://schemas.openxmlformats.org/officeDocument/2006/relationships/image" Target="../media/image5.jpg"/><Relationship Id="rId4" Type="http://schemas.openxmlformats.org/officeDocument/2006/relationships/image" Target="../media/image2.jpg"/><Relationship Id="rId9" Type="http://schemas.openxmlformats.org/officeDocument/2006/relationships/hyperlink" Target="https://uelectronics.com/wp-content/uploads/AR0277-MPU6050-min.jp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</webImagesSrd>
</file>

<file path=xl/richData/rdrichvalue.xml><?xml version="1.0" encoding="utf-8"?>
<rvData xmlns="http://schemas.microsoft.com/office/spreadsheetml/2017/richdata" count="5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gelectronica.com/detalle?busca=9366000126-0" TargetMode="External"/><Relationship Id="rId2" Type="http://schemas.openxmlformats.org/officeDocument/2006/relationships/hyperlink" Target="https://uelectronics.com/producto/esc-30a-driver-motor-brushless/" TargetMode="External"/><Relationship Id="rId1" Type="http://schemas.openxmlformats.org/officeDocument/2006/relationships/hyperlink" Target="https://agelectronica.com/detalle?busca=X2206S-KV2100-CC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uelectronics.com/producto/imu-mpu6050-6-grados-de-libertad/" TargetMode="External"/><Relationship Id="rId4" Type="http://schemas.openxmlformats.org/officeDocument/2006/relationships/hyperlink" Target="https://uelectronics.com/producto/esp32-s3-supermini-placa-de-desarrollo-usb-tipo-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27AC-F77D-464D-A797-E7F0BB65D221}">
  <dimension ref="A1:H7"/>
  <sheetViews>
    <sheetView tabSelected="1" topLeftCell="A4" zoomScaleNormal="100" workbookViewId="0">
      <selection activeCell="B8" sqref="B8"/>
    </sheetView>
  </sheetViews>
  <sheetFormatPr baseColWidth="10" defaultRowHeight="100.05" customHeight="1" x14ac:dyDescent="0.3"/>
  <cols>
    <col min="1" max="1" width="12.33203125" style="1" bestFit="1" customWidth="1"/>
    <col min="2" max="2" width="41.21875" style="1" bestFit="1" customWidth="1"/>
    <col min="3" max="3" width="16.44140625" style="1" bestFit="1" customWidth="1"/>
    <col min="4" max="4" width="18.6640625" style="1" bestFit="1" customWidth="1"/>
    <col min="5" max="5" width="18.6640625" style="1" customWidth="1"/>
    <col min="6" max="6" width="50.77734375" style="1" customWidth="1"/>
    <col min="7" max="7" width="20" style="6" bestFit="1" customWidth="1"/>
    <col min="8" max="8" width="11.5546875" style="6"/>
    <col min="9" max="16384" width="11.5546875" style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5" t="s">
        <v>10</v>
      </c>
      <c r="H1" s="5" t="s">
        <v>11</v>
      </c>
    </row>
    <row r="2" spans="1:8" ht="100.05" customHeight="1" x14ac:dyDescent="0.3">
      <c r="A2" s="1">
        <v>4</v>
      </c>
      <c r="B2" s="1" t="str">
        <f>UPPER(" ESC 30A Driver Motor Brushless")</f>
        <v xml:space="preserve"> ESC 30A DRIVER MOTOR BRUSHLESS</v>
      </c>
      <c r="C2" s="1" t="s">
        <v>5</v>
      </c>
      <c r="D2" s="1" t="s">
        <v>6</v>
      </c>
      <c r="E2" s="4" t="s">
        <v>13</v>
      </c>
      <c r="F2" s="1" t="e" vm="1">
        <f>_xlfn.IMAGE("https://uelectronics.com/wp-content/uploads/2020/10/AR1659-ESC-30A-Driver-Motor-Brushless.jpg")</f>
        <v>#VALUE!</v>
      </c>
      <c r="G2" s="6">
        <v>150</v>
      </c>
      <c r="H2" s="6">
        <f>SUM(A2*G2)</f>
        <v>600</v>
      </c>
    </row>
    <row r="3" spans="1:8" ht="100.05" customHeight="1" x14ac:dyDescent="0.3">
      <c r="A3" s="1">
        <v>4</v>
      </c>
      <c r="B3" s="2" t="s">
        <v>7</v>
      </c>
      <c r="C3" s="1" t="s">
        <v>8</v>
      </c>
      <c r="D3" s="1" t="s">
        <v>9</v>
      </c>
      <c r="E3" s="4" t="s">
        <v>13</v>
      </c>
      <c r="F3" s="1" t="e" vm="2">
        <f>_xlfn.IMAGE("https://agelectronica.com/vistas/images/X/X2206S-KV2100-CCW.jpg")</f>
        <v>#VALUE!</v>
      </c>
      <c r="G3" s="6">
        <v>252</v>
      </c>
      <c r="H3" s="6">
        <f>SUM(A3*G3)</f>
        <v>1008</v>
      </c>
    </row>
    <row r="4" spans="1:8" ht="100.05" customHeight="1" x14ac:dyDescent="0.3">
      <c r="A4" s="1">
        <v>4</v>
      </c>
      <c r="B4" s="2" t="s">
        <v>14</v>
      </c>
      <c r="C4" s="1" t="s">
        <v>8</v>
      </c>
      <c r="D4" s="1" t="s">
        <v>15</v>
      </c>
      <c r="E4" s="4" t="s">
        <v>13</v>
      </c>
      <c r="F4" s="1" t="e" vm="3">
        <f>_xlfn.IMAGE("https://agelectronica.com/vistas/images/9/9366000126-0.jpg")</f>
        <v>#VALUE!</v>
      </c>
      <c r="G4" s="6">
        <v>69</v>
      </c>
      <c r="H4" s="6">
        <f>SUM(A4*G4)</f>
        <v>276</v>
      </c>
    </row>
    <row r="5" spans="1:8" ht="100.05" customHeight="1" x14ac:dyDescent="0.3">
      <c r="A5" s="1">
        <v>1</v>
      </c>
      <c r="B5" s="7" t="str">
        <f>UPPER("ESP32-S3 SuperMini Placa de Desarrollo USB Tipo C")</f>
        <v>ESP32-S3 SUPERMINI PLACA DE DESARROLLO USB TIPO C</v>
      </c>
      <c r="C5" s="1" t="s">
        <v>5</v>
      </c>
      <c r="D5" s="1" t="s">
        <v>16</v>
      </c>
      <c r="E5" s="4" t="s">
        <v>13</v>
      </c>
      <c r="F5" s="1" t="e" vm="4">
        <f>_xlfn.IMAGE("https://uelectronics.com/wp-content/uploads/2024/07/AR3547-ESP32-S3-SuperMini-6.jpg")</f>
        <v>#VALUE!</v>
      </c>
      <c r="G5" s="6">
        <v>141</v>
      </c>
      <c r="H5" s="6">
        <f>SUM(A5*G5)</f>
        <v>141</v>
      </c>
    </row>
    <row r="6" spans="1:8" ht="100.05" customHeight="1" x14ac:dyDescent="0.3">
      <c r="A6" s="1">
        <v>1</v>
      </c>
      <c r="B6" s="1" t="str">
        <f>UPPER("IMU MPU6050 6 Grados de libertad")</f>
        <v>IMU MPU6050 6 GRADOS DE LIBERTAD</v>
      </c>
      <c r="C6" s="1" t="s">
        <v>5</v>
      </c>
      <c r="D6" s="1" t="s">
        <v>17</v>
      </c>
      <c r="E6" s="4" t="s">
        <v>13</v>
      </c>
      <c r="F6" s="1" t="e" vm="5">
        <f>_xlfn.IMAGE("https://uelectronics.com/wp-content/uploads/AR0277-MPU6050-min.jpg")</f>
        <v>#VALUE!</v>
      </c>
      <c r="G6" s="6">
        <v>80</v>
      </c>
      <c r="H6" s="6">
        <f>SUM(A6*G6)</f>
        <v>80</v>
      </c>
    </row>
    <row r="7" spans="1:8" ht="100.05" customHeight="1" x14ac:dyDescent="0.3">
      <c r="B7" s="1" t="str">
        <f>UPPER("Mini 560 Regulador Step Down")</f>
        <v>MINI 560 REGULADOR STEP DOWN</v>
      </c>
      <c r="F7" s="4"/>
    </row>
  </sheetData>
  <hyperlinks>
    <hyperlink ref="E3" r:id="rId1" xr:uid="{75B92C80-BE50-4D2F-8C6D-0F7FBBC82B7E}"/>
    <hyperlink ref="E2" r:id="rId2" xr:uid="{49EBFA52-652F-44D0-A0C4-506798EDD5EB}"/>
    <hyperlink ref="E4" r:id="rId3" xr:uid="{10014AAA-D224-4B30-9F37-BF0FD699AD9F}"/>
    <hyperlink ref="E5" r:id="rId4" xr:uid="{0CE5ABDD-19E6-47A7-A514-C4BBCB205AA3}"/>
    <hyperlink ref="E6" r:id="rId5" xr:uid="{2E1913BF-BC25-432E-B801-904BBA08F2E2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JOEL CRUZ MALDONADO</dc:creator>
  <cp:lastModifiedBy>HECTOR JOEL CRUZ MALDONADO</cp:lastModifiedBy>
  <cp:lastPrinted>2026-07-08T05:02:38Z</cp:lastPrinted>
  <dcterms:created xsi:type="dcterms:W3CDTF">2026-07-07T22:53:22Z</dcterms:created>
  <dcterms:modified xsi:type="dcterms:W3CDTF">2026-07-08T05:05:57Z</dcterms:modified>
</cp:coreProperties>
</file>